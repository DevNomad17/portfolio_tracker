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dre\Downloads\"/>
    </mc:Choice>
  </mc:AlternateContent>
  <xr:revisionPtr revIDLastSave="0" documentId="8_{F0D9E9F5-2909-4801-96B0-63B11E382E19}" xr6:coauthVersionLast="47" xr6:coauthVersionMax="47" xr10:uidLastSave="{00000000-0000-0000-0000-000000000000}"/>
  <bookViews>
    <workbookView xWindow="19200" yWindow="0" windowWidth="19200" windowHeight="21000" firstSheet="2" activeTab="2" xr2:uid="{6D0CF5D2-73D1-426A-8582-6E52FE31CB41}"/>
  </bookViews>
  <sheets>
    <sheet name="tana_nina" sheetId="5" r:id="rId1"/>
    <sheet name="filip_riso" sheetId="9" r:id="rId2"/>
    <sheet name="pali" sheetId="10" r:id="rId3"/>
  </sheets>
  <definedNames>
    <definedName name="portfolio" localSheetId="0">tana_nina!$A$1:$C$22</definedName>
    <definedName name="portfolio__1" localSheetId="1">filip_riso!$A$1:$C$11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0" l="1"/>
  <c r="B4" i="10"/>
  <c r="B3" i="10"/>
  <c r="B2" i="10"/>
  <c r="B14" i="9"/>
  <c r="B30" i="5"/>
  <c r="B29" i="5"/>
  <c r="B28" i="5"/>
  <c r="B13" i="9"/>
  <c r="B12" i="9"/>
  <c r="B23" i="5"/>
  <c r="B24" i="5"/>
  <c r="B25" i="5"/>
  <c r="B26" i="5"/>
  <c r="B27" i="5"/>
  <c r="B3" i="9"/>
  <c r="B4" i="9"/>
  <c r="B5" i="9"/>
  <c r="B6" i="9"/>
  <c r="B7" i="9"/>
  <c r="B8" i="9"/>
  <c r="B9" i="9"/>
  <c r="B10" i="9"/>
  <c r="B11" i="9"/>
  <c r="B2" i="9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45E0EE-1CC0-4E46-8B2F-8613EACE3230}" name="portfolio (1)" type="6" refreshedVersion="8" background="1" saveData="1">
    <textPr codePage="437" sourceFile="C:\Users\ondre\Downloads\portfolio (1).csv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C3852D9C-4D04-4642-A5C2-6330ED88117A}" name="portfolio4" type="6" refreshedVersion="8" background="1" saveData="1">
    <textPr codePage="437" sourceFile="C:\Users\ondre\Downloads\portfolio.csv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<sst xmlns="http://schemas.openxmlformats.org/spreadsheetml/2006/main" count="54" uniqueCount="19">
  <si>
    <t>Trade Date</t>
  </si>
  <si>
    <t>Dátum nákupu</t>
  </si>
  <si>
    <t>Kto</t>
  </si>
  <si>
    <t>Nákupná cena podielu</t>
  </si>
  <si>
    <t>Ondrej a Janka</t>
  </si>
  <si>
    <t>Pali a Lucka</t>
  </si>
  <si>
    <t>Janko a Olinka</t>
  </si>
  <si>
    <t>Ondrej a Janka (narodeniny 2022)</t>
  </si>
  <si>
    <t>Ondrej a Janka (vianoce 2022)</t>
  </si>
  <si>
    <t>Ondrej a Janka (narodeniny 2023)</t>
  </si>
  <si>
    <t>Ondrej a Janka (vianoce 2023)</t>
  </si>
  <si>
    <t>Ondrej a Janka (narodeniny 2024)</t>
  </si>
  <si>
    <t>Ondrej a Janka (vianoce 2024)</t>
  </si>
  <si>
    <t>O+J + Pali + Lucka</t>
  </si>
  <si>
    <t>Poznámka</t>
  </si>
  <si>
    <t>Peter a Ivetka (vianoce 2022)</t>
  </si>
  <si>
    <t>Ondrej a Janka (narodeniny 2025)</t>
  </si>
  <si>
    <t>Ondrej a Janka (vianoce 2025)</t>
  </si>
  <si>
    <t>Ondrej a Janka (narodeniny 2026)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</si>
</sst>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€-83C]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rtfolio" connectionId="2" xr16:uid="{C9738EE6-160A-4AD4-A711-409E76595B3E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rtfolio (1)" connectionId="1" xr16:uid="{09D7B43D-8449-4A84-9BFC-9FF7B28DD954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8EAED-538C-4399-AE16-D6C58E4E659E}">
  <sheetPr codeName="Sheet5"/>
  <dimension ref="A1:D31"/>
  <sheetViews>
    <sheetView workbookViewId="0">
      <selection activeCell="G17" sqref="G17"/>
    </sheetView>
  </sheetViews>
  <sheetFormatPr defaultRowHeight="15"/>
  <cols>
    <col min="1" max="1" width="10.5703125" customWidth="1"/>
    <col min="2" max="2" width="18.5703125" bestFit="1" customWidth="1"/>
    <col min="3" max="3" width="31" bestFit="1" customWidth="1"/>
    <col min="4" max="4" width="21" bestFit="1" customWidth="1"/>
  </cols>
  <sheetData>
    <row r="1" spans="1:4">
      <c r="A1" t="s">
        <v>0</v>
      </c>
      <c r="B1" s="2" t="s">
        <v>1</v>
      </c>
      <c r="C1" s="2" t="s">
        <v>2</v>
      </c>
      <c r="D1" s="2" t="s">
        <v>3</v>
      </c>
    </row>
    <row r="2" spans="1:4">
      <c r="A2">
        <v>20211219</v>
      </c>
      <c r="B2" s="1">
        <f>DATE(LEFT(A2,4),MID(A2,5,2),RIGHT(A2,2))</f>
        <v>44549</v>
      </c>
      <c r="C2" s="4" t="s">
        <v>4</v>
      </c>
      <c r="D2" s="5">
        <v>125</v>
      </c>
    </row>
    <row r="3" spans="1:4">
      <c r="A3">
        <v>20220208</v>
      </c>
      <c r="B3" s="1">
        <f t="shared" ref="B3:B28" si="0">DATE(LEFT(A3,4),MID(A3,5,2),RIGHT(A3,2))</f>
        <v>44600</v>
      </c>
      <c r="C3" s="4" t="s">
        <v>4</v>
      </c>
      <c r="D3" s="5">
        <v>25</v>
      </c>
    </row>
    <row r="4" spans="1:4">
      <c r="A4">
        <v>20220525</v>
      </c>
      <c r="B4" s="1">
        <f t="shared" si="0"/>
        <v>44706</v>
      </c>
      <c r="C4" s="4" t="s">
        <v>4</v>
      </c>
      <c r="D4" s="5">
        <v>100</v>
      </c>
    </row>
    <row r="5" spans="1:4">
      <c r="A5">
        <v>20220624</v>
      </c>
      <c r="B5" s="1">
        <f t="shared" si="0"/>
        <v>44736</v>
      </c>
      <c r="C5" s="4" t="s">
        <v>5</v>
      </c>
      <c r="D5" s="5">
        <v>30</v>
      </c>
    </row>
    <row r="6" spans="1:4">
      <c r="A6">
        <v>20220808</v>
      </c>
      <c r="B6" s="1">
        <f t="shared" si="0"/>
        <v>44781</v>
      </c>
      <c r="C6" s="4" t="s">
        <v>6</v>
      </c>
      <c r="D6" s="5">
        <v>100</v>
      </c>
    </row>
    <row r="7" spans="1:4">
      <c r="A7">
        <v>20220927</v>
      </c>
      <c r="B7" s="1">
        <f t="shared" si="0"/>
        <v>44831</v>
      </c>
      <c r="C7" s="4" t="s">
        <v>7</v>
      </c>
      <c r="D7" s="5">
        <v>50</v>
      </c>
    </row>
    <row r="8" spans="1:4">
      <c r="A8">
        <v>20221003</v>
      </c>
      <c r="B8" s="1">
        <f t="shared" si="0"/>
        <v>44837</v>
      </c>
      <c r="C8" s="4" t="s">
        <v>5</v>
      </c>
      <c r="D8" s="5">
        <v>20</v>
      </c>
    </row>
    <row r="9" spans="1:4">
      <c r="A9">
        <v>20221119</v>
      </c>
      <c r="B9" s="1">
        <f t="shared" si="0"/>
        <v>44884</v>
      </c>
      <c r="C9" s="4" t="s">
        <v>8</v>
      </c>
      <c r="D9" s="5">
        <v>50</v>
      </c>
    </row>
    <row r="10" spans="1:4">
      <c r="A10">
        <v>20221119</v>
      </c>
      <c r="B10" s="1">
        <f t="shared" si="0"/>
        <v>44884</v>
      </c>
      <c r="C10" s="4" t="s">
        <v>5</v>
      </c>
      <c r="D10" s="5">
        <v>30</v>
      </c>
    </row>
    <row r="11" spans="1:4">
      <c r="A11">
        <v>20230703</v>
      </c>
      <c r="B11" s="1">
        <f t="shared" si="0"/>
        <v>45110</v>
      </c>
      <c r="C11" s="4" t="s">
        <v>9</v>
      </c>
      <c r="D11" s="5">
        <v>50</v>
      </c>
    </row>
    <row r="12" spans="1:4">
      <c r="A12">
        <v>20230703</v>
      </c>
      <c r="B12" s="1">
        <f t="shared" si="0"/>
        <v>45110</v>
      </c>
      <c r="C12" s="4" t="s">
        <v>5</v>
      </c>
      <c r="D12" s="5">
        <v>75</v>
      </c>
    </row>
    <row r="13" spans="1:4">
      <c r="A13">
        <v>20230706</v>
      </c>
      <c r="B13" s="1">
        <f t="shared" si="0"/>
        <v>45113</v>
      </c>
      <c r="C13" s="4" t="s">
        <v>6</v>
      </c>
      <c r="D13" s="5">
        <v>100</v>
      </c>
    </row>
    <row r="14" spans="1:4">
      <c r="A14">
        <v>20231016</v>
      </c>
      <c r="B14" s="1">
        <f t="shared" si="0"/>
        <v>45215</v>
      </c>
      <c r="C14" s="4" t="s">
        <v>5</v>
      </c>
      <c r="D14" s="5">
        <v>75</v>
      </c>
    </row>
    <row r="15" spans="1:4">
      <c r="A15">
        <v>20240115</v>
      </c>
      <c r="B15" s="1">
        <f t="shared" si="0"/>
        <v>45306</v>
      </c>
      <c r="C15" s="4" t="s">
        <v>10</v>
      </c>
      <c r="D15" s="5">
        <v>50</v>
      </c>
    </row>
    <row r="16" spans="1:4">
      <c r="A16">
        <v>20240122</v>
      </c>
      <c r="B16" s="1">
        <f t="shared" si="0"/>
        <v>45313</v>
      </c>
      <c r="C16" s="4" t="s">
        <v>5</v>
      </c>
      <c r="D16" s="5">
        <v>50</v>
      </c>
    </row>
    <row r="17" spans="1:4">
      <c r="A17">
        <v>20240513</v>
      </c>
      <c r="B17" s="1">
        <f t="shared" si="0"/>
        <v>45425</v>
      </c>
      <c r="C17" s="4" t="s">
        <v>5</v>
      </c>
      <c r="D17" s="5">
        <v>75</v>
      </c>
    </row>
    <row r="18" spans="1:4">
      <c r="A18">
        <v>20240624</v>
      </c>
      <c r="B18" s="1">
        <f t="shared" si="0"/>
        <v>45467</v>
      </c>
      <c r="C18" s="4" t="s">
        <v>11</v>
      </c>
      <c r="D18" s="5">
        <v>50</v>
      </c>
    </row>
    <row r="19" spans="1:4">
      <c r="A19">
        <v>20240701</v>
      </c>
      <c r="B19" s="1">
        <f t="shared" si="0"/>
        <v>45474</v>
      </c>
      <c r="C19" s="4" t="s">
        <v>5</v>
      </c>
      <c r="D19" s="5">
        <v>50</v>
      </c>
    </row>
    <row r="20" spans="1:4">
      <c r="A20">
        <v>20240708</v>
      </c>
      <c r="B20" s="1">
        <f t="shared" si="0"/>
        <v>45481</v>
      </c>
      <c r="C20" s="4" t="s">
        <v>6</v>
      </c>
      <c r="D20" s="5">
        <v>100</v>
      </c>
    </row>
    <row r="21" spans="1:4">
      <c r="A21">
        <v>20241021</v>
      </c>
      <c r="B21" s="1">
        <f t="shared" si="0"/>
        <v>45586</v>
      </c>
      <c r="C21" s="4" t="s">
        <v>5</v>
      </c>
      <c r="D21" s="5">
        <v>125</v>
      </c>
    </row>
    <row r="22" spans="1:4">
      <c r="A22">
        <v>20241220</v>
      </c>
      <c r="B22" s="1">
        <f t="shared" si="0"/>
        <v>45646</v>
      </c>
      <c r="C22" s="4" t="s">
        <v>12</v>
      </c>
      <c r="D22" s="5">
        <v>50</v>
      </c>
    </row>
    <row r="23" spans="1:4">
      <c r="A23">
        <v>20250309</v>
      </c>
      <c r="B23" s="1">
        <f t="shared" si="0"/>
        <v>45725</v>
      </c>
      <c r="C23" s="4" t="s">
        <v>5</v>
      </c>
      <c r="D23" s="5">
        <v>50</v>
      </c>
    </row>
    <row r="24" spans="1:4">
      <c r="A24">
        <v>20250630</v>
      </c>
      <c r="B24" s="1">
        <f t="shared" si="0"/>
        <v>45838</v>
      </c>
      <c r="C24" s="4" t="s">
        <v>5</v>
      </c>
      <c r="D24" s="5">
        <v>150</v>
      </c>
    </row>
    <row r="25" spans="1:4">
      <c r="A25">
        <v>20250728</v>
      </c>
      <c r="B25" s="1">
        <f t="shared" si="0"/>
        <v>45866</v>
      </c>
      <c r="C25" s="4" t="s">
        <v>13</v>
      </c>
      <c r="D25" s="5">
        <v>100</v>
      </c>
    </row>
    <row r="26" spans="1:4">
      <c r="A26">
        <v>20251010</v>
      </c>
      <c r="B26" s="1">
        <f t="shared" si="0"/>
        <v>45940</v>
      </c>
      <c r="C26" s="4" t="s">
        <v>6</v>
      </c>
      <c r="D26" s="5">
        <v>100</v>
      </c>
    </row>
    <row r="27" spans="1:4">
      <c r="A27">
        <v>20251208</v>
      </c>
      <c r="B27" s="1">
        <f t="shared" si="0"/>
        <v>45999</v>
      </c>
      <c r="C27" s="4" t="s">
        <v>13</v>
      </c>
      <c r="D27" s="5">
        <v>150</v>
      </c>
    </row>
    <row r="28" spans="1:4">
      <c r="A28">
        <v>20260417</v>
      </c>
      <c r="B28" s="1">
        <f t="shared" si="0"/>
        <v>46129</v>
      </c>
      <c r="C28" s="4" t="s">
        <v>13</v>
      </c>
      <c r="D28" s="5">
        <v>150</v>
      </c>
    </row>
    <row r="29" spans="1:4">
      <c r="A29">
        <v>20260509</v>
      </c>
      <c r="B29" s="1">
        <f>DATE(LEFT(A29,4),MID(A29,5,2),RIGHT(A29,2))</f>
        <v>46151</v>
      </c>
      <c r="C29" s="4" t="s">
        <v>6</v>
      </c>
      <c r="D29" s="5">
        <v>100</v>
      </c>
    </row>
    <row r="30" spans="1:4">
      <c r="A30">
        <v>20260727</v>
      </c>
      <c r="B30" s="1">
        <f>DATE(LEFT(A30,4),MID(A30,5,2),RIGHT(A30,2))</f>
        <v>46230</v>
      </c>
      <c r="C30" s="4" t="s">
        <v>5</v>
      </c>
      <c r="D30" s="5">
        <v>420</v>
      </c>
    </row>
    <row r="31" spans="1:4">
      <c r="B31" s="1"/>
      <c r="C31" s="4"/>
      <c r="D3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13CBB-C2F5-4780-A599-D19D5758B88E}">
  <sheetPr codeName="Sheet8"/>
  <dimension ref="A1:D15"/>
  <sheetViews>
    <sheetView workbookViewId="0">
      <selection activeCell="F9" sqref="F9:F10"/>
    </sheetView>
  </sheetViews>
  <sheetFormatPr defaultRowHeight="15"/>
  <cols>
    <col min="1" max="1" width="10.5703125" customWidth="1"/>
    <col min="2" max="2" width="22.140625" customWidth="1"/>
    <col min="3" max="3" width="34.42578125" customWidth="1"/>
    <col min="4" max="4" width="21" bestFit="1" customWidth="1"/>
  </cols>
  <sheetData>
    <row r="1" spans="1:4">
      <c r="A1" t="s">
        <v>0</v>
      </c>
      <c r="B1" s="2" t="s">
        <v>1</v>
      </c>
      <c r="C1" s="3" t="s">
        <v>14</v>
      </c>
      <c r="D1" s="2" t="s">
        <v>3</v>
      </c>
    </row>
    <row r="2" spans="1:4">
      <c r="A2">
        <v>20211219</v>
      </c>
      <c r="B2" s="1">
        <f>DATE(LEFT(A2,4),MID(A2,5,2),RIGHT(A2,2))</f>
        <v>44549</v>
      </c>
      <c r="C2" s="4" t="s">
        <v>4</v>
      </c>
      <c r="D2" s="5">
        <v>125</v>
      </c>
    </row>
    <row r="3" spans="1:4">
      <c r="A3">
        <v>20220208</v>
      </c>
      <c r="B3" s="1">
        <f t="shared" ref="B3:B14" si="0">DATE(LEFT(A3,4),MID(A3,5,2),RIGHT(A3,2))</f>
        <v>44600</v>
      </c>
      <c r="C3" s="4" t="s">
        <v>4</v>
      </c>
      <c r="D3" s="5">
        <v>25</v>
      </c>
    </row>
    <row r="4" spans="1:4">
      <c r="A4">
        <v>20220525</v>
      </c>
      <c r="B4" s="1">
        <f t="shared" si="0"/>
        <v>44706</v>
      </c>
      <c r="C4" s="4" t="s">
        <v>4</v>
      </c>
      <c r="D4" s="5">
        <v>100</v>
      </c>
    </row>
    <row r="5" spans="1:4">
      <c r="A5">
        <v>20220927</v>
      </c>
      <c r="B5" s="1">
        <f t="shared" si="0"/>
        <v>44831</v>
      </c>
      <c r="C5" s="4" t="s">
        <v>7</v>
      </c>
      <c r="D5" s="5">
        <v>50</v>
      </c>
    </row>
    <row r="6" spans="1:4">
      <c r="A6">
        <v>20221119</v>
      </c>
      <c r="B6" s="1">
        <f t="shared" si="0"/>
        <v>44884</v>
      </c>
      <c r="C6" s="4" t="s">
        <v>8</v>
      </c>
      <c r="D6" s="5">
        <v>50</v>
      </c>
    </row>
    <row r="7" spans="1:4">
      <c r="A7">
        <v>20221130</v>
      </c>
      <c r="B7" s="1">
        <f t="shared" si="0"/>
        <v>44895</v>
      </c>
      <c r="C7" s="4" t="s">
        <v>15</v>
      </c>
      <c r="D7" s="5">
        <v>1000</v>
      </c>
    </row>
    <row r="8" spans="1:4">
      <c r="A8">
        <v>20230703</v>
      </c>
      <c r="B8" s="1">
        <f t="shared" si="0"/>
        <v>45110</v>
      </c>
      <c r="C8" s="4" t="s">
        <v>9</v>
      </c>
      <c r="D8" s="5">
        <v>50</v>
      </c>
    </row>
    <row r="9" spans="1:4">
      <c r="A9">
        <v>20240115</v>
      </c>
      <c r="B9" s="1">
        <f t="shared" si="0"/>
        <v>45306</v>
      </c>
      <c r="C9" s="4" t="s">
        <v>10</v>
      </c>
      <c r="D9" s="5">
        <v>50</v>
      </c>
    </row>
    <row r="10" spans="1:4">
      <c r="A10">
        <v>20240624</v>
      </c>
      <c r="B10" s="1">
        <f t="shared" si="0"/>
        <v>45467</v>
      </c>
      <c r="C10" s="4" t="s">
        <v>11</v>
      </c>
      <c r="D10" s="5">
        <v>50</v>
      </c>
    </row>
    <row r="11" spans="1:4">
      <c r="A11">
        <v>20241220</v>
      </c>
      <c r="B11" s="1">
        <f t="shared" si="0"/>
        <v>45646</v>
      </c>
      <c r="C11" s="4" t="s">
        <v>12</v>
      </c>
      <c r="D11" s="5">
        <v>50</v>
      </c>
    </row>
    <row r="12" spans="1:4">
      <c r="A12">
        <v>20250623</v>
      </c>
      <c r="B12" s="1">
        <f t="shared" si="0"/>
        <v>45831</v>
      </c>
      <c r="C12" s="4" t="s">
        <v>16</v>
      </c>
      <c r="D12" s="5">
        <v>50</v>
      </c>
    </row>
    <row r="13" spans="1:4">
      <c r="A13">
        <v>20251208</v>
      </c>
      <c r="B13" s="1">
        <f t="shared" si="0"/>
        <v>45999</v>
      </c>
      <c r="C13" s="4" t="s">
        <v>17</v>
      </c>
      <c r="D13" s="5">
        <v>50</v>
      </c>
    </row>
    <row r="14" spans="1:4">
      <c r="A14">
        <v>20260630</v>
      </c>
      <c r="B14" s="1">
        <f t="shared" si="0"/>
        <v>46203</v>
      </c>
      <c r="C14" s="4" t="s">
        <v>18</v>
      </c>
      <c r="D14" s="5">
        <v>50</v>
      </c>
    </row>
    <row r="15" spans="1:4">
      <c r="B15" s="1"/>
      <c r="C15" s="4"/>
      <c r="D15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6836-6A96-4012-B0C1-98DCFBDC3805}">
  <dimension ref="A1:D5"/>
  <sheetViews>
    <sheetView tabSelected="1" workbookViewId="0">
      <selection activeCell="E3" sqref="E3"/>
    </sheetView>
  </sheetViews>
  <sheetFormatPr defaultRowHeight="15"/>
  <cols>
    <col min="1" max="1" width="10.7109375" bestFit="1" customWidth="1"/>
    <col min="2" max="2" width="19" bestFit="1" customWidth="1"/>
    <col min="3" max="3" width="31.28515625" bestFit="1" customWidth="1"/>
    <col min="4" max="4" width="21.28515625" bestFit="1" customWidth="1"/>
  </cols>
  <sheetData>
    <row r="1" spans="1:4">
      <c r="A1" t="s">
        <v>0</v>
      </c>
      <c r="B1" s="2" t="s">
        <v>1</v>
      </c>
      <c r="C1" s="3" t="s">
        <v>14</v>
      </c>
      <c r="D1" s="2" t="s">
        <v>3</v>
      </c>
    </row>
    <row r="2" spans="1:4">
      <c r="A2">
        <v>20251010</v>
      </c>
      <c r="B2" s="1">
        <f>DATE(LEFT(A2,4),MID(A2,5,2),RIGHT(A2,2))</f>
        <v>45940</v>
      </c>
      <c r="C2" s="4"/>
      <c r="D2" s="5">
        <v>200</v>
      </c>
    </row>
    <row r="3" spans="1:4">
      <c r="A3">
        <v>20251208</v>
      </c>
      <c r="B3" s="1">
        <f t="shared" ref="B3:B5" si="0">DATE(LEFT(A3,4),MID(A3,5,2),RIGHT(A3,2))</f>
        <v>45999</v>
      </c>
      <c r="C3" s="4"/>
      <c r="D3" s="5">
        <v>200</v>
      </c>
    </row>
    <row r="4" spans="1:4">
      <c r="A4">
        <v>20260417</v>
      </c>
      <c r="B4" s="1">
        <f t="shared" si="0"/>
        <v>46129</v>
      </c>
      <c r="C4" s="4"/>
      <c r="D4" s="5">
        <v>450</v>
      </c>
    </row>
    <row r="5" spans="1:4">
      <c r="A5">
        <v>20260727</v>
      </c>
      <c r="B5" s="1">
        <f t="shared" si="0"/>
        <v>46230</v>
      </c>
      <c r="C5" s="4"/>
      <c r="D5" s="5">
        <v>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Gabco Ondrej</dc:creator>
  <cp:keywords/>
  <dc:description/>
  <cp:lastModifiedBy/>
  <cp:revision/>
  <dcterms:created xsi:type="dcterms:W3CDTF">2025-01-25T13:56:26Z</dcterms:created>
  <dcterms:modified xsi:type="dcterms:W3CDTF">2026-08-23T19:38:56Z</dcterms:modified>
  <cp:category/>
  <cp:contentStatus/>
</cp:coreProperties>
</file>